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\Desktop\ECE755_TPU\"/>
    </mc:Choice>
  </mc:AlternateContent>
  <xr:revisionPtr revIDLastSave="0" documentId="13_ncr:1_{C88A6742-C616-4DFE-9B2D-1D87BBFA09A7}" xr6:coauthVersionLast="47" xr6:coauthVersionMax="47" xr10:uidLastSave="{00000000-0000-0000-0000-000000000000}"/>
  <bookViews>
    <workbookView xWindow="-108" yWindow="-108" windowWidth="23256" windowHeight="12456" xr2:uid="{259C0063-D37F-404D-9B78-347FE3DA3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B15" i="1"/>
  <c r="B12" i="1"/>
  <c r="B11" i="1"/>
  <c r="L4" i="1"/>
  <c r="M4" i="1"/>
  <c r="K4" i="1"/>
</calcChain>
</file>

<file path=xl/sharedStrings.xml><?xml version="1.0" encoding="utf-8"?>
<sst xmlns="http://schemas.openxmlformats.org/spreadsheetml/2006/main" count="19" uniqueCount="19">
  <si>
    <t>Design</t>
  </si>
  <si>
    <t>Die Area</t>
  </si>
  <si>
    <t>Design Core Area</t>
  </si>
  <si>
    <t>Instance Utilization</t>
  </si>
  <si>
    <t>Min Power (W)</t>
  </si>
  <si>
    <t>Nom Power (W)</t>
  </si>
  <si>
    <t>Max Power (W)</t>
  </si>
  <si>
    <t>VU</t>
  </si>
  <si>
    <t>PE</t>
  </si>
  <si>
    <t>TOP</t>
  </si>
  <si>
    <t>Min Hold (ns)</t>
  </si>
  <si>
    <t>Nom Hold (ns)</t>
  </si>
  <si>
    <t>Max Hold (ns)</t>
  </si>
  <si>
    <t>Min Setup (ns)</t>
  </si>
  <si>
    <t>Nom Setup (ns)</t>
  </si>
  <si>
    <t>Max Setup (ns)</t>
  </si>
  <si>
    <t>Design 1</t>
  </si>
  <si>
    <t>Design 2-Flat</t>
  </si>
  <si>
    <t>Design 2-Hierarch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</si>
</sst>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6AAD-8EA6-4966-AE04-2228DEFBA46B}">
  <dimension ref="A1:M16"/>
  <sheetViews>
    <sheetView tabSelected="1" zoomScale="145" workbookViewId="0">
      <selection activeCell="I4" sqref="I4"/>
    </sheetView>
  </sheetViews>
  <sheetFormatPr defaultRowHeight="15.6" x14ac:dyDescent="0.3"/>
  <cols>
    <col min="1" max="1" width="10.21875" style="2" customWidth="1"/>
    <col min="2" max="2" width="12.88671875" style="2" bestFit="1" customWidth="1"/>
    <col min="3" max="3" width="9" style="2" bestFit="1" customWidth="1"/>
    <col min="4" max="7" width="10.88671875" style="2" customWidth="1"/>
    <col min="8" max="8" width="13" style="2" bestFit="1" customWidth="1"/>
    <col min="9" max="9" width="10.109375" style="2" bestFit="1" customWidth="1"/>
    <col min="10" max="10" width="9.5546875" style="2" bestFit="1" customWidth="1"/>
    <col min="11" max="13" width="12.88671875" style="2" bestFit="1" customWidth="1"/>
    <col min="14" max="16384" width="8.88671875" style="2"/>
  </cols>
  <sheetData>
    <row r="1" spans="1:13" s="1" customFormat="1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</row>
    <row r="2" spans="1:13" x14ac:dyDescent="0.3">
      <c r="A2" s="2" t="s">
        <v>16</v>
      </c>
      <c r="B2" s="2">
        <v>1020900</v>
      </c>
      <c r="C2" s="2">
        <v>986446</v>
      </c>
      <c r="D2" s="2">
        <v>0.48783100000000001</v>
      </c>
      <c r="E2" s="2">
        <v>8.5199999999999998E-2</v>
      </c>
      <c r="F2" s="2">
        <v>0.30919999999999997</v>
      </c>
      <c r="G2" s="2">
        <v>0.1053</v>
      </c>
      <c r="H2" s="2">
        <v>-19.039131000000001</v>
      </c>
      <c r="I2" s="2">
        <v>-2.9193389999999999</v>
      </c>
      <c r="J2" s="2">
        <v>3.2516379999999998</v>
      </c>
      <c r="K2" s="2">
        <v>0.29050199999999998</v>
      </c>
      <c r="L2" s="2">
        <v>0.37295119999999998</v>
      </c>
      <c r="M2" s="2">
        <v>0.43617929999999999</v>
      </c>
    </row>
    <row r="3" spans="1:13" ht="31.2" x14ac:dyDescent="0.3">
      <c r="A3" s="2" t="s">
        <v>17</v>
      </c>
      <c r="B3" s="2">
        <v>1012950</v>
      </c>
      <c r="C3" s="2">
        <v>977407</v>
      </c>
      <c r="D3" s="2">
        <v>0.50365599999999999</v>
      </c>
      <c r="E3" s="2">
        <v>-0.58499999999999996</v>
      </c>
      <c r="F3" s="2">
        <v>0.3009</v>
      </c>
      <c r="G3" s="2">
        <v>0.11559999999999999</v>
      </c>
      <c r="H3" s="2">
        <v>-8.4664190000000001</v>
      </c>
      <c r="I3" s="2">
        <v>2.439991</v>
      </c>
      <c r="J3" s="2">
        <v>6.6147590000000003</v>
      </c>
      <c r="K3" s="2">
        <v>0.12423167</v>
      </c>
      <c r="L3" s="2">
        <v>0.31182860000000001</v>
      </c>
      <c r="M3" s="2">
        <v>0.3657823</v>
      </c>
    </row>
    <row r="4" spans="1:13" ht="31.2" x14ac:dyDescent="0.3">
      <c r="A4" s="2" t="s">
        <v>18</v>
      </c>
      <c r="B4" s="2">
        <v>1632090</v>
      </c>
      <c r="C4" s="2">
        <v>1578860</v>
      </c>
      <c r="D4" s="2">
        <v>0.65064900000000003</v>
      </c>
      <c r="E4" s="2">
        <v>0.77910000000000001</v>
      </c>
      <c r="F4" s="2">
        <v>0.30580000000000002</v>
      </c>
      <c r="G4" s="2">
        <v>7.8399999999999997E-2</v>
      </c>
      <c r="H4" s="2">
        <v>0.45939999999999998</v>
      </c>
      <c r="I4" s="2">
        <v>6.6852</v>
      </c>
      <c r="J4" s="2">
        <v>8.3758999999999997</v>
      </c>
      <c r="K4" s="2">
        <f>K7+(64*K8)+K9</f>
        <v>0.11671592200000001</v>
      </c>
      <c r="L4" s="2">
        <f>L7+(64*L8)+L9</f>
        <v>0.14929846299999999</v>
      </c>
      <c r="M4" s="2">
        <f t="shared" ref="M4" si="0">M7+(64*M8)+M9</f>
        <v>0.17693898399999999</v>
      </c>
    </row>
    <row r="7" spans="1:13" x14ac:dyDescent="0.3">
      <c r="J7" s="2" t="s">
        <v>7</v>
      </c>
      <c r="K7" s="2">
        <v>1.7093399999999999E-3</v>
      </c>
      <c r="L7" s="2">
        <v>2.1602150000000001E-3</v>
      </c>
      <c r="M7" s="2">
        <v>2.5461379999999999E-3</v>
      </c>
    </row>
    <row r="8" spans="1:13" x14ac:dyDescent="0.3">
      <c r="J8" s="2" t="s">
        <v>8</v>
      </c>
      <c r="K8" s="2">
        <v>1.6771150000000001E-3</v>
      </c>
      <c r="L8" s="2">
        <v>2.1406620000000002E-3</v>
      </c>
      <c r="M8" s="2">
        <v>2.5342839999999999E-3</v>
      </c>
    </row>
    <row r="9" spans="1:13" x14ac:dyDescent="0.3">
      <c r="J9" s="2" t="s">
        <v>9</v>
      </c>
      <c r="K9" s="2">
        <v>7.6712220000000001E-3</v>
      </c>
      <c r="L9" s="2">
        <v>1.013588E-2</v>
      </c>
      <c r="M9" s="2">
        <v>1.219867E-2</v>
      </c>
    </row>
    <row r="11" spans="1:13" x14ac:dyDescent="0.3">
      <c r="B11" s="2">
        <f>B4/B2</f>
        <v>1.5986776373787834</v>
      </c>
    </row>
    <row r="12" spans="1:13" x14ac:dyDescent="0.3">
      <c r="B12" s="2">
        <f>B3/B2</f>
        <v>0.99221275345283577</v>
      </c>
    </row>
    <row r="15" spans="1:13" x14ac:dyDescent="0.3">
      <c r="B15" s="2">
        <f>L4/L2</f>
        <v>0.40031634969937085</v>
      </c>
    </row>
    <row r="16" spans="1:13" x14ac:dyDescent="0.3">
      <c r="B16" s="2">
        <f>L3/L2</f>
        <v>0.83611099789999344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Rajeswari Avula</dc:creator>
  <cp:lastModifiedBy>Rajeswari Avula</cp:lastModifiedBy>
  <dcterms:created xsi:type="dcterms:W3CDTF">2026-04-21T03:34:18Z</dcterms:created>
  <dcterms:modified xsi:type="dcterms:W3CDTF">2026-04-28T00:27:38Z</dcterms:modified>
</cp:coreProperties>
</file>